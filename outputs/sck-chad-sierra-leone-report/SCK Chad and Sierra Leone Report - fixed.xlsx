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K Report" sheetId="1" r:id="rId1"/>
  </sheets>
  <definedNames>
    <definedName name="_xlnm._FilterDatabase" localSheetId="0">'SCK Report'!A5:G17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6.83203125" customWidth="1"/>
    <col min="2" max="2" width="22.83203125" customWidth="1"/>
    <col min="3" max="3" width="14.83203125" customWidth="1"/>
    <col min="4" max="4" width="12.83203125" customWidth="1"/>
    <col min="5" max="5" width="10.83203125" customWidth="1"/>
    <col min="6" max="6" width="12.83203125" customWidth="1"/>
    <col min="7" max="7" width="14.83203125" customWidth="1"/>
  </cols>
  <sheetData>
    <row r="1">
      <c r="A1" t="str">
        <v>SCK Chad and Sierra Leone Report</v>
      </c>
    </row>
    <row r="2">
      <c r="A2" t="str">
        <v>Statement of Account</v>
      </c>
    </row>
    <row r="3">
      <c r="A3" t="str">
        <v>Report Date</v>
      </c>
      <c r="B3" s="1" t="d">
        <v>2026-09-01T00:00:00.000Z</v>
      </c>
      <c r="E3" t="str">
        <v>Original Sheet</v>
      </c>
      <c r="F3" t="str">
        <v>Sayfa2</v>
      </c>
    </row>
    <row r="5">
      <c r="A5" t="str">
        <v>Country</v>
      </c>
      <c r="B5" t="str">
        <v>Container / BL</v>
      </c>
      <c r="C5" t="str">
        <v>SCK Ref</v>
      </c>
      <c r="D5" t="str">
        <v>Amount</v>
      </c>
      <c r="E5" t="str">
        <v>Currency</v>
      </c>
      <c r="F5" t="str">
        <v>Invoice</v>
      </c>
      <c r="G5" t="str">
        <v>Invoice Date</v>
      </c>
    </row>
    <row r="6">
      <c r="A6" t="str">
        <v>Sierra Leone</v>
      </c>
      <c r="B6" t="str">
        <v>MEDUJ5839280</v>
      </c>
      <c r="C6" t="str">
        <v/>
      </c>
      <c r="D6" s="2">
        <v>375</v>
      </c>
      <c r="E6" t="str">
        <v>USD</v>
      </c>
      <c r="F6" t="str">
        <v>E458315</v>
      </c>
      <c r="G6" s="3" t="d">
        <v>2026-07-16T00:00:00.000Z</v>
      </c>
    </row>
    <row r="7">
      <c r="A7" t="str">
        <v>Chad</v>
      </c>
      <c r="B7" t="str">
        <v>IAH0436887</v>
      </c>
      <c r="C7" t="str">
        <v>26TS01970</v>
      </c>
      <c r="D7" s="2">
        <v>205</v>
      </c>
      <c r="E7" t="str">
        <v>USD</v>
      </c>
      <c r="F7" t="str">
        <v>E460601</v>
      </c>
      <c r="G7" s="3" t="d">
        <v>2026-07-25T00:00:00.000Z</v>
      </c>
    </row>
    <row r="8">
      <c r="A8" t="str">
        <v>Sierra Leone</v>
      </c>
      <c r="B8" t="str">
        <v>MEDUJ5872497</v>
      </c>
      <c r="C8" t="str">
        <v/>
      </c>
      <c r="D8" s="2">
        <v>155</v>
      </c>
      <c r="E8" t="str">
        <v>USD</v>
      </c>
      <c r="F8" t="str">
        <v>E460877</v>
      </c>
      <c r="G8" s="3" t="d">
        <v>2026-07-31T00:00:00.000Z</v>
      </c>
    </row>
    <row r="9">
      <c r="A9" t="str">
        <v>Sierra Leone</v>
      </c>
      <c r="B9" t="str">
        <v>MEDUXX810468</v>
      </c>
      <c r="C9" t="str">
        <v/>
      </c>
      <c r="D9" s="2">
        <v>265</v>
      </c>
      <c r="E9" t="str">
        <v>USD</v>
      </c>
      <c r="F9" t="str">
        <v>E460876</v>
      </c>
      <c r="G9" s="3" t="d">
        <v>2026-07-31T00:00:00.000Z</v>
      </c>
    </row>
    <row r="10">
      <c r="A10" t="str">
        <v>Sierra Leone</v>
      </c>
      <c r="B10" t="str">
        <v>274774421</v>
      </c>
      <c r="C10" t="str">
        <v/>
      </c>
      <c r="D10" s="2">
        <v>485</v>
      </c>
      <c r="E10" t="str">
        <v>USD</v>
      </c>
      <c r="F10" t="str">
        <v>E460911</v>
      </c>
      <c r="G10" s="3" t="d">
        <v>2026-07-31T00:00:00.000Z</v>
      </c>
    </row>
    <row r="11">
      <c r="A11" t="str">
        <v>Chad</v>
      </c>
      <c r="B11" t="str">
        <v>HLCUBSC2606DBOB9</v>
      </c>
      <c r="C11" t="str">
        <v>26TS02117</v>
      </c>
      <c r="D11" s="2">
        <v>255</v>
      </c>
      <c r="E11" t="str">
        <v>USD</v>
      </c>
      <c r="F11" t="str">
        <v>E461133</v>
      </c>
      <c r="G11" s="3" t="d">
        <v>2026-08-06T00:00:00.000Z</v>
      </c>
    </row>
    <row r="12">
      <c r="A12" t="str">
        <v>Chad</v>
      </c>
      <c r="B12" t="str">
        <v>HLCUBSC2607CNJH9</v>
      </c>
      <c r="C12" t="str">
        <v>26TS02207</v>
      </c>
      <c r="D12" s="2">
        <v>430</v>
      </c>
      <c r="E12" t="str">
        <v>USD</v>
      </c>
      <c r="F12" t="str">
        <v>E461478</v>
      </c>
      <c r="G12" s="3" t="d">
        <v>2026-08-13T00:00:00.000Z</v>
      </c>
    </row>
    <row r="13">
      <c r="A13" t="str">
        <v>Sierra Leone</v>
      </c>
      <c r="B13" t="str">
        <v>MEDUW5360773</v>
      </c>
      <c r="C13" t="str">
        <v/>
      </c>
      <c r="D13" s="2">
        <v>265</v>
      </c>
      <c r="E13" t="str">
        <v>USD</v>
      </c>
      <c r="F13" t="str">
        <v>E461606</v>
      </c>
      <c r="G13" s="3" t="d">
        <v>2026-08-14T00:00:00.000Z</v>
      </c>
    </row>
    <row r="14">
      <c r="A14" t="str">
        <v>Sierra Leone</v>
      </c>
      <c r="B14" t="str">
        <v>CHIFNA423471</v>
      </c>
      <c r="C14" t="str">
        <v/>
      </c>
      <c r="D14" s="2">
        <v>265</v>
      </c>
      <c r="E14" t="str">
        <v>USD</v>
      </c>
      <c r="F14" t="str">
        <v>E461630</v>
      </c>
      <c r="G14" s="3" t="d">
        <v>2026-08-15T00:00:00.000Z</v>
      </c>
    </row>
    <row r="15">
      <c r="A15" t="str">
        <v>Sierra Leone</v>
      </c>
      <c r="B15" t="str">
        <v>721613736</v>
      </c>
      <c r="C15" t="str">
        <v/>
      </c>
      <c r="D15" s="2">
        <v>265</v>
      </c>
      <c r="E15" t="str">
        <v>USD</v>
      </c>
      <c r="F15" t="str">
        <v>E461721</v>
      </c>
      <c r="G15" s="3" t="d">
        <v>2026-08-17T00:00:00.000Z</v>
      </c>
    </row>
    <row r="16">
      <c r="A16" t="str">
        <v>Sierra Leone</v>
      </c>
      <c r="B16" t="str">
        <v>SGN3354902</v>
      </c>
      <c r="C16" t="str">
        <v/>
      </c>
      <c r="D16" s="2">
        <v>265</v>
      </c>
      <c r="E16" t="str">
        <v>USD</v>
      </c>
      <c r="F16" t="str">
        <v>E462293</v>
      </c>
      <c r="G16" s="3" t="d">
        <v>2026-08-26T00:00:00.000Z</v>
      </c>
    </row>
    <row r="17">
      <c r="A17" t="str">
        <v>Sierra Leone</v>
      </c>
      <c r="B17" t="str">
        <v>275898135</v>
      </c>
      <c r="C17" t="str">
        <v/>
      </c>
      <c r="D17" s="2">
        <v>265</v>
      </c>
      <c r="E17" t="str">
        <v>USD</v>
      </c>
      <c r="F17" t="str">
        <v>E462351</v>
      </c>
      <c r="G17" s="3" t="d">
        <v>2026-08-28T00:00:00.000Z</v>
      </c>
    </row>
    <row r="18">
      <c r="A18" t="str">
        <v>Total</v>
      </c>
      <c r="D18" s="2">
        <f>SUM(D6:D17)</f>
        <v>3495</v>
      </c>
      <c r="E18" t="str">
        <v>USD</v>
      </c>
    </row>
    <row r="20">
      <c r="A20" t="str">
        <v>Country Summary</v>
      </c>
    </row>
    <row r="21">
      <c r="A21" t="str">
        <v>Country</v>
      </c>
      <c r="B21" t="str">
        <v>Line Count</v>
      </c>
      <c r="C21" t="str">
        <v>Amount</v>
      </c>
      <c r="D21" t="str">
        <v>Currency</v>
      </c>
    </row>
    <row r="22">
      <c r="A22" t="str">
        <v>Chad</v>
      </c>
      <c r="B22" s="4">
        <f>COUNTIF(A6:A17,"Chad")</f>
        <v>3</v>
      </c>
      <c r="C22" s="2">
        <f>SUMIF(A6:A17,"Chad",D6:D17)</f>
        <v>890</v>
      </c>
      <c r="D22" t="str">
        <v>USD</v>
      </c>
    </row>
    <row r="23">
      <c r="A23" t="str">
        <v>Sierra Leone</v>
      </c>
      <c r="B23" s="4">
        <f>COUNTIF(A6:A17,"Sierra Leone")</f>
        <v>9</v>
      </c>
      <c r="C23" s="2">
        <f>SUMIF(A6:A17,"Sierra Leone",D6:D17)</f>
        <v>2605</v>
      </c>
      <c r="D23" t="str">
        <v>USD</v>
      </c>
    </row>
  </sheetData>
  <autoFilter ref="A5:G17"/>
  <mergeCells count="3">
    <mergeCell ref="A1:G1"/>
    <mergeCell ref="A2:G2"/>
    <mergeCell ref="A20:D20"/>
  </mergeCells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2026-09-01T05:00:00Z</dcterms:created>
  <dc:creator>Africa CTN</dc:creator>
  <dc:subject>Statement of Account</dc:subject>
  <dc:title>SCK Chad and Sierra Leone Report</dc:title>
</cp:coreProperties>
</file>